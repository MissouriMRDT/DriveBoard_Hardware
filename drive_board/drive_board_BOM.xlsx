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ydn\Documents\Github\DriveBoard_Hardware\drive_board\"/>
    </mc:Choice>
  </mc:AlternateContent>
  <xr:revisionPtr revIDLastSave="0" documentId="13_ncr:9_{3D2CBD69-A4C4-428A-B48A-CB82985603CF}" xr6:coauthVersionLast="47" xr6:coauthVersionMax="47" xr10:uidLastSave="{00000000-0000-0000-0000-000000000000}"/>
  <bookViews>
    <workbookView xWindow="-108" yWindow="-108" windowWidth="23256" windowHeight="12456" xr2:uid="{9304D136-1081-4AD6-888D-5CA5367C1DD8}"/>
  </bookViews>
  <sheets>
    <sheet name="drive_board" sheetId="1" r:id="rId1"/>
  </sheets>
  <calcPr calcId="0"/>
</workbook>
</file>

<file path=xl/calcChain.xml><?xml version="1.0" encoding="utf-8"?>
<calcChain xmlns="http://schemas.openxmlformats.org/spreadsheetml/2006/main">
  <c r="G25" i="1" l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<sst xmlns="http://schemas.openxmlformats.org/spreadsheetml/2006/main" count="93" uniqueCount="69">
  <si>
    <t>Reference</t>
  </si>
  <si>
    <t>Qty</t>
  </si>
  <si>
    <t>Value</t>
  </si>
  <si>
    <t>Footprint</t>
  </si>
  <si>
    <t>Datasheet</t>
  </si>
  <si>
    <t>C1,C2,C4</t>
  </si>
  <si>
    <t>0.1uF</t>
  </si>
  <si>
    <t>Capacitor_SMD:C_0603_1608Metric_Pad1.08x0.95mm_HandSolder</t>
  </si>
  <si>
    <t>C3,C5</t>
  </si>
  <si>
    <t>10uF</t>
  </si>
  <si>
    <t>D1</t>
  </si>
  <si>
    <t>MMSZ5240BT1G</t>
  </si>
  <si>
    <t>MRDT_Devices:SOD-123_ONS-L</t>
  </si>
  <si>
    <t>https://www.onsemi.com/pdf/datasheet/mmsz5221bt1-d.pdf</t>
  </si>
  <si>
    <t>D2,D15</t>
  </si>
  <si>
    <t>Green</t>
  </si>
  <si>
    <t>LED_SMD:LED_0603_1608Metric_Pad1.05x0.95mm_HandSolder</t>
  </si>
  <si>
    <t>D9,D10,D11,D12,D13,D14,D16,D17</t>
  </si>
  <si>
    <t>Orange</t>
  </si>
  <si>
    <t>J1</t>
  </si>
  <si>
    <t>Molex_Megafit_02</t>
  </si>
  <si>
    <t>megafit:CONN_SD-768290002_02_MOL</t>
  </si>
  <si>
    <t>https://www.molex.com/en-us/products/part-detail-pdf/768250002?display=pdf</t>
  </si>
  <si>
    <t>J2</t>
  </si>
  <si>
    <t>RJ45_LED_Shielded</t>
  </si>
  <si>
    <t>MRDT_Connectors:RJ45_Teensy</t>
  </si>
  <si>
    <t>J3,J4,J5,J6,J7,J8,J9,J10</t>
  </si>
  <si>
    <t>Conn_01x02_Pin</t>
  </si>
  <si>
    <t>Connector_JST:JST_PH_B2B-PH-K_1x02_P2.00mm_Vertical</t>
  </si>
  <si>
    <t>J11,J12,J13,J14</t>
  </si>
  <si>
    <t>Conn_01x03_Pin</t>
  </si>
  <si>
    <t>Connector_JST:JST_PH_B3B-PH-K_1x03_P2.00mm_Vertical</t>
  </si>
  <si>
    <t>J15</t>
  </si>
  <si>
    <t>Conn_01x04_Pin</t>
  </si>
  <si>
    <t>Connector_JST:JST_PH_B4B-PH-K_1x04_P2.00mm_Vertical</t>
  </si>
  <si>
    <t>MOSFET1</t>
  </si>
  <si>
    <t>TPC8132_LQS</t>
  </si>
  <si>
    <t>Package_SO:SOIC-8_3.9x4.9mm_P1.27mm</t>
  </si>
  <si>
    <t>https://toshiba.semicon-storage.com/info/TPC8132_datasheet_en_20140107.pdf?did=6518&amp;prodName=TPC8132</t>
  </si>
  <si>
    <t>Q12,Q13,Q14,Q15,Q16,Q17,Q18,Q19</t>
  </si>
  <si>
    <t>BSS138</t>
  </si>
  <si>
    <t>Package_TO_SOT_SMD:SOT-23</t>
  </si>
  <si>
    <t>https://www.onsemi.com/pub/Collateral/BSS138-D.PDF</t>
  </si>
  <si>
    <t>R1,R17,R18,R19,R20,R21,R22,R25,R26,R27,R28,R29,R30,R31,R32,R33,R34</t>
  </si>
  <si>
    <t>10k</t>
  </si>
  <si>
    <t>Resistor_SMD:R_0603_1608Metric_Pad0.98x0.95mm_HandSolder</t>
  </si>
  <si>
    <t>R2</t>
  </si>
  <si>
    <t>6.8k</t>
  </si>
  <si>
    <t>R9,R10,R11,R12,R13,R14,R15,R16</t>
  </si>
  <si>
    <t>1k</t>
  </si>
  <si>
    <t>R23</t>
  </si>
  <si>
    <t>R24</t>
  </si>
  <si>
    <t>U1</t>
  </si>
  <si>
    <t>MRDT_Shields:RoveNode_H5</t>
  </si>
  <si>
    <t>U2</t>
  </si>
  <si>
    <t>SN65HVD232</t>
  </si>
  <si>
    <t>http://www.ti.com/lit/ds/symlink/sn65hvd230.pdf</t>
  </si>
  <si>
    <t>U3,U4</t>
  </si>
  <si>
    <t>COM-09032</t>
  </si>
  <si>
    <t>Joystick:XDCR_COM-09032</t>
  </si>
  <si>
    <t>U5</t>
  </si>
  <si>
    <t>4-1825059-2</t>
  </si>
  <si>
    <t>Dipswitch:SWSO16_325X138P100</t>
  </si>
  <si>
    <t>https://www.te.com/commerce/DocumentDelivery/DDEController?Action=srchrtrv&amp;DocNm=ADE_ADP_ADF_Datasheet&amp;DocType=Data+Sheet&amp;DocLang=English&amp;PartCntxt=4-1825059-2&amp;DocFormat=pdf</t>
  </si>
  <si>
    <t>~</t>
  </si>
  <si>
    <t>Total:</t>
  </si>
  <si>
    <t>Cost per component:</t>
  </si>
  <si>
    <t>Standard Components:</t>
  </si>
  <si>
    <t>Board: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</si>
</sst>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2B14-7F04-4E83-AA96-D99954CA7872}">
  <dimension ref="A1:G25"/>
  <sheetViews>
    <sheetView tabSelected="1" workbookViewId="0">
      <selection activeCell="D25" sqref="D25"/>
    </sheetView>
  </sheetViews>
  <sheetFormatPr defaultRowHeight="14.4" x14ac:dyDescent="0.3"/>
  <cols>
    <col min="1" max="1" width="36.21875" customWidth="1"/>
    <col min="2" max="2" width="17" customWidth="1"/>
    <col min="3" max="3" width="54.6640625" customWidth="1"/>
    <col min="4" max="4" width="16.21875" customWidth="1"/>
    <col min="5" max="5" width="12.109375" style="6" customWidth="1"/>
    <col min="6" max="6" width="19.88671875" style="3" customWidth="1"/>
    <col min="7" max="7" width="9" style="3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s="4" t="s">
        <v>1</v>
      </c>
      <c r="F1" s="2" t="s">
        <v>66</v>
      </c>
      <c r="G1" s="2" t="s">
        <v>65</v>
      </c>
    </row>
    <row r="2" spans="1:7" x14ac:dyDescent="0.3">
      <c r="A2" t="s">
        <v>5</v>
      </c>
      <c r="B2" t="s">
        <v>6</v>
      </c>
      <c r="C2" t="s">
        <v>7</v>
      </c>
      <c r="E2" s="5">
        <v>3</v>
      </c>
      <c r="F2" s="3" t="s">
        <v>64</v>
      </c>
      <c r="G2" s="3" t="str">
        <f>IF(F2= "~", "~", (E2*F2))</f>
        <v>~</v>
      </c>
    </row>
    <row r="3" spans="1:7" x14ac:dyDescent="0.3">
      <c r="A3" t="s">
        <v>8</v>
      </c>
      <c r="B3" t="s">
        <v>9</v>
      </c>
      <c r="C3" t="s">
        <v>7</v>
      </c>
      <c r="E3" s="5">
        <v>2</v>
      </c>
      <c r="F3" s="3" t="s">
        <v>64</v>
      </c>
      <c r="G3" s="3" t="str">
        <f t="shared" ref="G3:G22" si="0">IF(F3= "~", "~", (E3*F3))</f>
        <v>~</v>
      </c>
    </row>
    <row r="4" spans="1:7" x14ac:dyDescent="0.3">
      <c r="A4" t="s">
        <v>10</v>
      </c>
      <c r="B4" t="s">
        <v>11</v>
      </c>
      <c r="C4" t="s">
        <v>12</v>
      </c>
      <c r="D4" t="s">
        <v>13</v>
      </c>
      <c r="E4" s="5">
        <v>1</v>
      </c>
      <c r="F4" s="3" t="s">
        <v>64</v>
      </c>
      <c r="G4" s="3" t="str">
        <f t="shared" si="0"/>
        <v>~</v>
      </c>
    </row>
    <row r="5" spans="1:7" x14ac:dyDescent="0.3">
      <c r="A5" t="s">
        <v>14</v>
      </c>
      <c r="B5" t="s">
        <v>15</v>
      </c>
      <c r="C5" t="s">
        <v>16</v>
      </c>
      <c r="E5" s="5">
        <v>2</v>
      </c>
      <c r="F5" s="3" t="s">
        <v>64</v>
      </c>
      <c r="G5" s="3" t="str">
        <f t="shared" si="0"/>
        <v>~</v>
      </c>
    </row>
    <row r="6" spans="1:7" x14ac:dyDescent="0.3">
      <c r="A6" t="s">
        <v>17</v>
      </c>
      <c r="B6" t="s">
        <v>18</v>
      </c>
      <c r="C6" t="s">
        <v>16</v>
      </c>
      <c r="E6" s="5">
        <v>8</v>
      </c>
      <c r="F6" s="3" t="s">
        <v>64</v>
      </c>
      <c r="G6" s="3" t="str">
        <f t="shared" si="0"/>
        <v>~</v>
      </c>
    </row>
    <row r="7" spans="1:7" x14ac:dyDescent="0.3">
      <c r="A7" t="s">
        <v>19</v>
      </c>
      <c r="B7" t="s">
        <v>20</v>
      </c>
      <c r="C7" t="s">
        <v>21</v>
      </c>
      <c r="D7" t="s">
        <v>22</v>
      </c>
      <c r="E7" s="5">
        <v>1</v>
      </c>
      <c r="F7" s="3" t="s">
        <v>64</v>
      </c>
      <c r="G7" s="3" t="str">
        <f t="shared" si="0"/>
        <v>~</v>
      </c>
    </row>
    <row r="8" spans="1:7" x14ac:dyDescent="0.3">
      <c r="A8" t="s">
        <v>23</v>
      </c>
      <c r="B8" t="s">
        <v>24</v>
      </c>
      <c r="C8" t="s">
        <v>25</v>
      </c>
      <c r="E8" s="5">
        <v>1</v>
      </c>
      <c r="F8" s="3" t="s">
        <v>64</v>
      </c>
      <c r="G8" s="3" t="str">
        <f t="shared" si="0"/>
        <v>~</v>
      </c>
    </row>
    <row r="9" spans="1:7" x14ac:dyDescent="0.3">
      <c r="A9" t="s">
        <v>26</v>
      </c>
      <c r="B9" t="s">
        <v>27</v>
      </c>
      <c r="C9" t="s">
        <v>28</v>
      </c>
      <c r="E9" s="5">
        <v>8</v>
      </c>
      <c r="F9" s="3" t="s">
        <v>64</v>
      </c>
      <c r="G9" s="3" t="str">
        <f t="shared" si="0"/>
        <v>~</v>
      </c>
    </row>
    <row r="10" spans="1:7" x14ac:dyDescent="0.3">
      <c r="A10" t="s">
        <v>29</v>
      </c>
      <c r="B10" t="s">
        <v>30</v>
      </c>
      <c r="C10" t="s">
        <v>31</v>
      </c>
      <c r="E10" s="5">
        <v>4</v>
      </c>
      <c r="F10" s="3" t="s">
        <v>64</v>
      </c>
      <c r="G10" s="3" t="str">
        <f t="shared" si="0"/>
        <v>~</v>
      </c>
    </row>
    <row r="11" spans="1:7" x14ac:dyDescent="0.3">
      <c r="A11" t="s">
        <v>32</v>
      </c>
      <c r="B11" t="s">
        <v>33</v>
      </c>
      <c r="C11" t="s">
        <v>34</v>
      </c>
      <c r="E11" s="5">
        <v>1</v>
      </c>
      <c r="F11" s="3" t="s">
        <v>64</v>
      </c>
      <c r="G11" s="3" t="str">
        <f t="shared" si="0"/>
        <v>~</v>
      </c>
    </row>
    <row r="12" spans="1:7" x14ac:dyDescent="0.3">
      <c r="A12" t="s">
        <v>35</v>
      </c>
      <c r="B12" t="s">
        <v>36</v>
      </c>
      <c r="C12" t="s">
        <v>37</v>
      </c>
      <c r="D12" t="s">
        <v>38</v>
      </c>
      <c r="E12" s="5">
        <v>1</v>
      </c>
      <c r="F12" s="3" t="s">
        <v>64</v>
      </c>
      <c r="G12" s="3" t="str">
        <f t="shared" si="0"/>
        <v>~</v>
      </c>
    </row>
    <row r="13" spans="1:7" x14ac:dyDescent="0.3">
      <c r="A13" t="s">
        <v>39</v>
      </c>
      <c r="B13" t="s">
        <v>40</v>
      </c>
      <c r="C13" t="s">
        <v>41</v>
      </c>
      <c r="D13" t="s">
        <v>42</v>
      </c>
      <c r="E13" s="5">
        <v>8</v>
      </c>
      <c r="F13" s="3" t="s">
        <v>64</v>
      </c>
      <c r="G13" s="3" t="str">
        <f t="shared" si="0"/>
        <v>~</v>
      </c>
    </row>
    <row r="14" spans="1:7" x14ac:dyDescent="0.3">
      <c r="A14" t="s">
        <v>43</v>
      </c>
      <c r="B14" t="s">
        <v>44</v>
      </c>
      <c r="C14" t="s">
        <v>45</v>
      </c>
      <c r="E14" s="5">
        <v>17</v>
      </c>
      <c r="F14" s="3" t="s">
        <v>64</v>
      </c>
      <c r="G14" s="3" t="str">
        <f t="shared" si="0"/>
        <v>~</v>
      </c>
    </row>
    <row r="15" spans="1:7" x14ac:dyDescent="0.3">
      <c r="A15" t="s">
        <v>46</v>
      </c>
      <c r="B15" t="s">
        <v>47</v>
      </c>
      <c r="C15" t="s">
        <v>45</v>
      </c>
      <c r="E15" s="5">
        <v>1</v>
      </c>
      <c r="F15" s="3" t="s">
        <v>64</v>
      </c>
      <c r="G15" s="3" t="str">
        <f t="shared" si="0"/>
        <v>~</v>
      </c>
    </row>
    <row r="16" spans="1:7" x14ac:dyDescent="0.3">
      <c r="A16" t="s">
        <v>48</v>
      </c>
      <c r="B16" t="s">
        <v>49</v>
      </c>
      <c r="C16" t="s">
        <v>45</v>
      </c>
      <c r="E16" s="5">
        <v>8</v>
      </c>
      <c r="F16" s="3" t="s">
        <v>64</v>
      </c>
      <c r="G16" s="3" t="str">
        <f t="shared" si="0"/>
        <v>~</v>
      </c>
    </row>
    <row r="17" spans="1:7" x14ac:dyDescent="0.3">
      <c r="A17" t="s">
        <v>50</v>
      </c>
      <c r="B17" s="1">
        <v>330</v>
      </c>
      <c r="C17" t="s">
        <v>45</v>
      </c>
      <c r="E17" s="5">
        <v>1</v>
      </c>
      <c r="F17" s="3" t="s">
        <v>64</v>
      </c>
      <c r="G17" s="3" t="str">
        <f t="shared" si="0"/>
        <v>~</v>
      </c>
    </row>
    <row r="18" spans="1:7" x14ac:dyDescent="0.3">
      <c r="A18" t="s">
        <v>51</v>
      </c>
      <c r="B18" s="1">
        <v>120</v>
      </c>
      <c r="C18" t="s">
        <v>45</v>
      </c>
      <c r="E18" s="5">
        <v>1</v>
      </c>
      <c r="F18" s="3" t="s">
        <v>64</v>
      </c>
      <c r="G18" s="3" t="str">
        <f t="shared" si="0"/>
        <v>~</v>
      </c>
    </row>
    <row r="19" spans="1:7" x14ac:dyDescent="0.3">
      <c r="A19" t="s">
        <v>52</v>
      </c>
      <c r="C19" t="s">
        <v>53</v>
      </c>
      <c r="E19" s="5">
        <v>1</v>
      </c>
      <c r="F19" s="3">
        <v>25</v>
      </c>
      <c r="G19" s="3">
        <f t="shared" si="0"/>
        <v>25</v>
      </c>
    </row>
    <row r="20" spans="1:7" x14ac:dyDescent="0.3">
      <c r="A20" t="s">
        <v>54</v>
      </c>
      <c r="B20" t="s">
        <v>55</v>
      </c>
      <c r="C20" t="s">
        <v>37</v>
      </c>
      <c r="D20" t="s">
        <v>56</v>
      </c>
      <c r="E20" s="5">
        <v>1</v>
      </c>
      <c r="F20" s="3">
        <v>2.91</v>
      </c>
      <c r="G20" s="3">
        <f t="shared" si="0"/>
        <v>2.91</v>
      </c>
    </row>
    <row r="21" spans="1:7" x14ac:dyDescent="0.3">
      <c r="A21" t="s">
        <v>57</v>
      </c>
      <c r="B21" t="s">
        <v>58</v>
      </c>
      <c r="C21" t="s">
        <v>59</v>
      </c>
      <c r="E21" s="5">
        <v>2</v>
      </c>
      <c r="F21" s="3">
        <v>5</v>
      </c>
      <c r="G21" s="3">
        <f t="shared" si="0"/>
        <v>10</v>
      </c>
    </row>
    <row r="22" spans="1:7" x14ac:dyDescent="0.3">
      <c r="A22" t="s">
        <v>60</v>
      </c>
      <c r="B22" t="s">
        <v>61</v>
      </c>
      <c r="C22" t="s">
        <v>62</v>
      </c>
      <c r="D22" t="s">
        <v>63</v>
      </c>
      <c r="E22" s="5">
        <v>1</v>
      </c>
      <c r="F22" s="3">
        <v>2.12</v>
      </c>
      <c r="G22" s="3">
        <f t="shared" si="0"/>
        <v>2.12</v>
      </c>
    </row>
    <row r="23" spans="1:7" x14ac:dyDescent="0.3">
      <c r="F23" s="2" t="s">
        <v>67</v>
      </c>
      <c r="G23" s="3">
        <v>10</v>
      </c>
    </row>
    <row r="24" spans="1:7" x14ac:dyDescent="0.3">
      <c r="F24" s="3" t="s">
        <v>68</v>
      </c>
      <c r="G24" s="3">
        <v>8.6999999999999993</v>
      </c>
    </row>
    <row r="25" spans="1:7" x14ac:dyDescent="0.3">
      <c r="F25" s="3" t="s">
        <v>65</v>
      </c>
      <c r="G25" s="3">
        <f>SUM(G2:G24)</f>
        <v>58.72999999999999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Blaydn Buckwalter</dc:creator>
  <cp:lastModifiedBy>Buckwalter, Blaydn (S&amp;T-Student)</cp:lastModifiedBy>
  <dcterms:created xsi:type="dcterms:W3CDTF">2026-10-31T04:04:30Z</dcterms:created>
  <dcterms:modified xsi:type="dcterms:W3CDTF">2026-10-31T04:32:25Z</dcterms:modified>
</cp:coreProperties>
</file>